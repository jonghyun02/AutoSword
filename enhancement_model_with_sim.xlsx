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StageCalc" sheetId="2" state="visible" r:id="rId2"/>
    <sheet xmlns:r="http://schemas.openxmlformats.org/officeDocument/2006/relationships" name="Cumulative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0000FF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3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putTable" displayName="InputTable" ref="A5:F26" headerRowCount="1">
  <autoFilter ref="A5:F26"/>
  <tableColumns count="6">
    <tableColumn id="1" name="Level (+n)"/>
    <tableColumn id="2" name="Attempt cost (원)"/>
    <tableColumn id="3" name="Sale price (원)"/>
    <tableColumn id="4" name="Success %"/>
    <tableColumn id="5" name="Keep %"/>
    <tableColumn id="6" name="Destroy %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Assumptions</t>
        </is>
      </c>
    </row>
    <row r="2">
      <c r="A2" t="inlineStr">
        <is>
          <t>Seconds per attempt</t>
        </is>
      </c>
      <c r="B2" s="2" t="n">
        <v>5</v>
      </c>
      <c r="D2" t="inlineStr">
        <is>
          <t>Note</t>
        </is>
      </c>
      <c r="E2" s="3" t="inlineStr">
        <is>
          <t>Probabilities &amp; costs from user screenshots.</t>
        </is>
      </c>
    </row>
    <row r="3">
      <c r="A3" t="inlineStr">
        <is>
          <t>Display rule</t>
        </is>
      </c>
      <c r="B3" s="3" t="inlineStr">
        <is>
          <t>Sale price 0 =&gt; not available</t>
        </is>
      </c>
    </row>
    <row r="4">
      <c r="A4" t="inlineStr">
        <is>
          <t>Simulation runs (N)</t>
        </is>
      </c>
      <c r="B4" s="15" t="n">
        <v>5000</v>
      </c>
      <c r="D4" t="inlineStr">
        <is>
          <t>Simulation seed</t>
        </is>
      </c>
      <c r="E4" s="15" t="n">
        <v>42</v>
      </c>
      <c r="F4" t="inlineStr">
        <is>
          <t>P90/P95/P99</t>
        </is>
      </c>
    </row>
    <row r="5" ht="20" customHeight="1">
      <c r="A5" s="4" t="inlineStr">
        <is>
          <t>Level (+n)</t>
        </is>
      </c>
      <c r="B5" s="4" t="inlineStr">
        <is>
          <t>Attempt cost (원)</t>
        </is>
      </c>
      <c r="C5" s="4" t="inlineStr">
        <is>
          <t>Sale price (원)</t>
        </is>
      </c>
      <c r="D5" s="4" t="inlineStr">
        <is>
          <t>Success %</t>
        </is>
      </c>
      <c r="E5" s="4" t="inlineStr">
        <is>
          <t>Keep %</t>
        </is>
      </c>
      <c r="F5" s="4" t="inlineStr">
        <is>
          <t>Destroy %</t>
        </is>
      </c>
    </row>
    <row r="6">
      <c r="A6" s="5" t="n">
        <v>0</v>
      </c>
      <c r="B6" s="6" t="n">
        <v>0</v>
      </c>
      <c r="C6" s="6" t="n">
        <v>0</v>
      </c>
      <c r="D6" s="7" t="n"/>
      <c r="E6" s="7" t="n"/>
      <c r="F6" s="7" t="n"/>
    </row>
    <row r="7">
      <c r="A7" s="5" t="n">
        <v>1</v>
      </c>
      <c r="B7" s="6" t="n">
        <v>20</v>
      </c>
      <c r="C7" s="6" t="n">
        <v>100</v>
      </c>
      <c r="D7" s="7" t="n">
        <v>1</v>
      </c>
      <c r="E7" s="7" t="n">
        <v>0</v>
      </c>
      <c r="F7" s="7" t="n">
        <v>0</v>
      </c>
    </row>
    <row r="8">
      <c r="A8" s="5" t="n">
        <v>2</v>
      </c>
      <c r="B8" s="6" t="n">
        <v>50</v>
      </c>
      <c r="C8" s="6" t="n">
        <v>260</v>
      </c>
      <c r="D8" s="7" t="n">
        <v>0.906</v>
      </c>
      <c r="E8" s="7" t="n">
        <v>0.094</v>
      </c>
      <c r="F8" s="7" t="n">
        <v>0</v>
      </c>
    </row>
    <row r="9">
      <c r="A9" s="5" t="n">
        <v>3</v>
      </c>
      <c r="B9" s="6" t="n">
        <v>100</v>
      </c>
      <c r="C9" s="6" t="n">
        <v>750</v>
      </c>
      <c r="D9" s="7" t="n">
        <v>0.798</v>
      </c>
      <c r="E9" s="7" t="n">
        <v>0.202</v>
      </c>
      <c r="F9" s="7" t="n">
        <v>0</v>
      </c>
    </row>
    <row r="10">
      <c r="A10" s="5" t="n">
        <v>4</v>
      </c>
      <c r="B10" s="6" t="n">
        <v>200</v>
      </c>
      <c r="C10" s="6" t="n">
        <v>1600</v>
      </c>
      <c r="D10" s="7" t="n">
        <v>0.701</v>
      </c>
      <c r="E10" s="7" t="n">
        <v>0.279</v>
      </c>
      <c r="F10" s="7" t="n">
        <v>0.021</v>
      </c>
    </row>
    <row r="11">
      <c r="A11" s="5" t="n">
        <v>5</v>
      </c>
      <c r="B11" s="6" t="n">
        <v>500</v>
      </c>
      <c r="C11" s="6" t="n">
        <v>3700</v>
      </c>
      <c r="D11" s="7" t="n">
        <v>0.599</v>
      </c>
      <c r="E11" s="7" t="n">
        <v>0.35</v>
      </c>
      <c r="F11" s="7" t="n">
        <v>0.051</v>
      </c>
    </row>
    <row r="12">
      <c r="A12" s="5" t="n">
        <v>6</v>
      </c>
      <c r="B12" s="6" t="n">
        <v>1000</v>
      </c>
      <c r="C12" s="6" t="n">
        <v>10000</v>
      </c>
      <c r="D12" s="7" t="n">
        <v>0.501</v>
      </c>
      <c r="E12" s="7" t="n">
        <v>0.397</v>
      </c>
      <c r="F12" s="7" t="n">
        <v>0.102</v>
      </c>
    </row>
    <row r="13">
      <c r="A13" s="5" t="n">
        <v>7</v>
      </c>
      <c r="B13" s="6" t="n">
        <v>2000</v>
      </c>
      <c r="C13" s="6" t="n">
        <v>22000</v>
      </c>
      <c r="D13" s="7" t="n">
        <v>0.454</v>
      </c>
      <c r="E13" s="7" t="n">
        <v>0.441</v>
      </c>
      <c r="F13" s="7" t="n">
        <v>0.105</v>
      </c>
    </row>
    <row r="14">
      <c r="A14" s="5" t="n">
        <v>8</v>
      </c>
      <c r="B14" s="6" t="n">
        <v>5000</v>
      </c>
      <c r="C14" s="6" t="n">
        <v>50000</v>
      </c>
      <c r="D14" s="7" t="n">
        <v>0.402</v>
      </c>
      <c r="E14" s="7" t="n">
        <v>0.496</v>
      </c>
      <c r="F14" s="7" t="n">
        <v>0.103</v>
      </c>
    </row>
    <row r="15">
      <c r="A15" s="5" t="n">
        <v>9</v>
      </c>
      <c r="B15" s="6" t="n">
        <v>10000</v>
      </c>
      <c r="C15" s="6" t="n">
        <v>125000</v>
      </c>
      <c r="D15" s="7" t="n">
        <v>0.336</v>
      </c>
      <c r="E15" s="7" t="n">
        <v>0.5659999999999999</v>
      </c>
      <c r="F15" s="7" t="n">
        <v>0.098</v>
      </c>
    </row>
    <row r="16">
      <c r="A16" s="5" t="n">
        <v>10</v>
      </c>
      <c r="B16" s="6" t="n">
        <v>20000</v>
      </c>
      <c r="C16" s="6" t="n">
        <v>260000</v>
      </c>
      <c r="D16" s="7" t="n">
        <v>0.293</v>
      </c>
      <c r="E16" s="7" t="n">
        <v>0.614</v>
      </c>
      <c r="F16" s="7" t="n">
        <v>0.095</v>
      </c>
    </row>
    <row r="17">
      <c r="A17" s="5" t="n">
        <v>11</v>
      </c>
      <c r="B17" s="6" t="n">
        <v>30000</v>
      </c>
      <c r="C17" s="6" t="n">
        <v>600000</v>
      </c>
      <c r="D17" s="7" t="n">
        <v>0.255</v>
      </c>
      <c r="E17" s="7" t="n">
        <v>0.645</v>
      </c>
      <c r="F17" s="7" t="n">
        <v>0.101</v>
      </c>
    </row>
    <row r="18">
      <c r="A18" s="5" t="n">
        <v>12</v>
      </c>
      <c r="B18" s="6" t="n">
        <v>40000</v>
      </c>
      <c r="C18" s="6" t="n">
        <v>1250000</v>
      </c>
      <c r="D18" s="7" t="n">
        <v>0.236</v>
      </c>
      <c r="E18" s="7" t="n">
        <v>0.659</v>
      </c>
      <c r="F18" s="7" t="n">
        <v>0.106</v>
      </c>
    </row>
    <row r="19">
      <c r="A19" s="5" t="n">
        <v>13</v>
      </c>
      <c r="B19" s="6" t="n">
        <v>50000</v>
      </c>
      <c r="C19" s="6" t="n">
        <v>2100000</v>
      </c>
      <c r="D19" s="7" t="n">
        <v>0.193</v>
      </c>
      <c r="E19" s="7" t="n">
        <v>0.702</v>
      </c>
      <c r="F19" s="7" t="n">
        <v>0.105</v>
      </c>
    </row>
    <row r="20">
      <c r="A20" s="5" t="n">
        <v>14</v>
      </c>
      <c r="B20" s="6" t="n">
        <v>70000</v>
      </c>
      <c r="C20" s="6" t="n">
        <v>0</v>
      </c>
      <c r="D20" s="7" t="n">
        <v>0.181</v>
      </c>
      <c r="E20" s="7" t="n">
        <v>0.723</v>
      </c>
      <c r="F20" s="7" t="n">
        <v>0.097</v>
      </c>
    </row>
    <row r="21">
      <c r="A21" s="5" t="n">
        <v>15</v>
      </c>
      <c r="B21" s="6" t="n">
        <v>100000</v>
      </c>
      <c r="C21" s="6" t="n">
        <v>0</v>
      </c>
      <c r="D21" s="7" t="n">
        <v>0.148</v>
      </c>
      <c r="E21" s="7" t="n">
        <v>0.755</v>
      </c>
      <c r="F21" s="7" t="n">
        <v>0.099</v>
      </c>
    </row>
    <row r="22">
      <c r="A22" s="5" t="n">
        <v>16</v>
      </c>
      <c r="B22" s="6" t="n">
        <v>150000</v>
      </c>
      <c r="C22" s="6" t="n">
        <v>0</v>
      </c>
      <c r="D22" s="7" t="n">
        <v>0.131</v>
      </c>
      <c r="E22" s="7" t="n">
        <v>0.78</v>
      </c>
      <c r="F22" s="7" t="n">
        <v>0.098</v>
      </c>
    </row>
    <row r="23">
      <c r="A23" s="5" t="n">
        <v>17</v>
      </c>
      <c r="B23" s="6" t="n">
        <v>200000</v>
      </c>
      <c r="C23" s="6" t="n">
        <v>0</v>
      </c>
      <c r="D23" s="7" t="n">
        <v>0.109</v>
      </c>
      <c r="E23" s="7" t="n">
        <v>0.768</v>
      </c>
      <c r="F23" s="7" t="n">
        <v>0.126</v>
      </c>
    </row>
    <row r="24">
      <c r="A24" s="5" t="n">
        <v>18</v>
      </c>
      <c r="B24" s="6" t="n">
        <v>300000</v>
      </c>
      <c r="C24" s="6" t="n">
        <v>0</v>
      </c>
      <c r="D24" s="7" t="n">
        <v>0.099</v>
      </c>
      <c r="E24" s="7" t="n">
        <v>0.799</v>
      </c>
      <c r="F24" s="7" t="n">
        <v>0.107</v>
      </c>
    </row>
    <row r="25">
      <c r="A25" s="5" t="n">
        <v>19</v>
      </c>
      <c r="B25" s="6" t="n">
        <v>500000</v>
      </c>
      <c r="C25" s="6" t="n">
        <v>0</v>
      </c>
      <c r="D25" s="7" t="n">
        <v>0.047</v>
      </c>
      <c r="E25" s="7" t="n">
        <v>0.862</v>
      </c>
      <c r="F25" s="7" t="n">
        <v>0.106</v>
      </c>
    </row>
    <row r="26">
      <c r="A26" s="5" t="n">
        <v>20</v>
      </c>
      <c r="B26" s="6" t="n">
        <v>0</v>
      </c>
      <c r="C26" s="6" t="n">
        <v>0</v>
      </c>
      <c r="D26" s="7" t="n">
        <v>0.033</v>
      </c>
      <c r="E26" s="7" t="n">
        <v>0.903</v>
      </c>
      <c r="F26" s="7" t="n">
        <v>0.099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8" customWidth="1" min="9" max="9"/>
    <col width="16" customWidth="1" min="10" max="10"/>
  </cols>
  <sheetData>
    <row r="1">
      <c r="A1" s="1" t="inlineStr">
        <is>
          <t>Per-stage calculations (transition n-1 -&gt; n with keep loops collapsed)</t>
        </is>
      </c>
    </row>
    <row r="2">
      <c r="A2" s="3" t="inlineStr">
        <is>
          <t>Uses normalized probabilities so Success+Keep+Destroy=100%.</t>
        </is>
      </c>
    </row>
    <row r="4" ht="32" customHeight="1">
      <c r="A4" s="8" t="inlineStr">
        <is>
          <t>Level (+n)</t>
        </is>
      </c>
      <c r="B4" s="8" t="inlineStr">
        <is>
          <t>Raw total</t>
        </is>
      </c>
      <c r="C4" s="8" t="inlineStr">
        <is>
          <t>Success (norm)</t>
        </is>
      </c>
      <c r="D4" s="8" t="inlineStr">
        <is>
          <t>Keep (norm)</t>
        </is>
      </c>
      <c r="E4" s="8" t="inlineStr">
        <is>
          <t>Destroy (norm)</t>
        </is>
      </c>
      <c r="F4" s="8" t="inlineStr">
        <is>
          <t>Denom = S + D</t>
        </is>
      </c>
      <c r="G4" s="8" t="inlineStr">
        <is>
          <t>q = S/(S+D)</t>
        </is>
      </c>
      <c r="H4" s="8" t="inlineStr">
        <is>
          <t>Exp attempts @stage</t>
        </is>
      </c>
      <c r="I4" s="8" t="inlineStr">
        <is>
          <t>Exp cost @stage (원)</t>
        </is>
      </c>
      <c r="J4" s="8" t="inlineStr">
        <is>
          <t>Exp time @stage (sec)</t>
        </is>
      </c>
    </row>
    <row r="5">
      <c r="A5" s="9" t="n">
        <v>1</v>
      </c>
      <c r="B5" s="10">
        <f>Inputs!D7+Inputs!E7+Inputs!F7</f>
        <v/>
      </c>
      <c r="C5" s="11">
        <f>IF(B5=0,0,Inputs!D7/B5)</f>
        <v/>
      </c>
      <c r="D5" s="11">
        <f>IF(B5=0,0,Inputs!E7/B5)</f>
        <v/>
      </c>
      <c r="E5" s="11">
        <f>IF(B5=0,0,Inputs!F7/B5)</f>
        <v/>
      </c>
      <c r="F5" s="10">
        <f>C5+E5</f>
        <v/>
      </c>
      <c r="G5" s="11">
        <f>IF(F5=0,0,C5/F5)</f>
        <v/>
      </c>
      <c r="H5" s="12">
        <f>IF(F5=0,0,1/F5)</f>
        <v/>
      </c>
      <c r="I5" s="13">
        <f>Inputs!B7*H5</f>
        <v/>
      </c>
      <c r="J5" s="14">
        <f>H5*Inputs!$B$2</f>
        <v/>
      </c>
    </row>
    <row r="6">
      <c r="A6" s="9" t="n">
        <v>2</v>
      </c>
      <c r="B6" s="10">
        <f>Inputs!D8+Inputs!E8+Inputs!F8</f>
        <v/>
      </c>
      <c r="C6" s="11">
        <f>IF(B6=0,0,Inputs!D8/B6)</f>
        <v/>
      </c>
      <c r="D6" s="11">
        <f>IF(B6=0,0,Inputs!E8/B6)</f>
        <v/>
      </c>
      <c r="E6" s="11">
        <f>IF(B6=0,0,Inputs!F8/B6)</f>
        <v/>
      </c>
      <c r="F6" s="10">
        <f>C6+E6</f>
        <v/>
      </c>
      <c r="G6" s="11">
        <f>IF(F6=0,0,C6/F6)</f>
        <v/>
      </c>
      <c r="H6" s="12">
        <f>IF(F6=0,0,1/F6)</f>
        <v/>
      </c>
      <c r="I6" s="13">
        <f>Inputs!B8*H6</f>
        <v/>
      </c>
      <c r="J6" s="14">
        <f>H6*Inputs!$B$2</f>
        <v/>
      </c>
    </row>
    <row r="7">
      <c r="A7" s="9" t="n">
        <v>3</v>
      </c>
      <c r="B7" s="10">
        <f>Inputs!D9+Inputs!E9+Inputs!F9</f>
        <v/>
      </c>
      <c r="C7" s="11">
        <f>IF(B7=0,0,Inputs!D9/B7)</f>
        <v/>
      </c>
      <c r="D7" s="11">
        <f>IF(B7=0,0,Inputs!E9/B7)</f>
        <v/>
      </c>
      <c r="E7" s="11">
        <f>IF(B7=0,0,Inputs!F9/B7)</f>
        <v/>
      </c>
      <c r="F7" s="10">
        <f>C7+E7</f>
        <v/>
      </c>
      <c r="G7" s="11">
        <f>IF(F7=0,0,C7/F7)</f>
        <v/>
      </c>
      <c r="H7" s="12">
        <f>IF(F7=0,0,1/F7)</f>
        <v/>
      </c>
      <c r="I7" s="13">
        <f>Inputs!B9*H7</f>
        <v/>
      </c>
      <c r="J7" s="14">
        <f>H7*Inputs!$B$2</f>
        <v/>
      </c>
    </row>
    <row r="8">
      <c r="A8" s="9" t="n">
        <v>4</v>
      </c>
      <c r="B8" s="10">
        <f>Inputs!D10+Inputs!E10+Inputs!F10</f>
        <v/>
      </c>
      <c r="C8" s="11">
        <f>IF(B8=0,0,Inputs!D10/B8)</f>
        <v/>
      </c>
      <c r="D8" s="11">
        <f>IF(B8=0,0,Inputs!E10/B8)</f>
        <v/>
      </c>
      <c r="E8" s="11">
        <f>IF(B8=0,0,Inputs!F10/B8)</f>
        <v/>
      </c>
      <c r="F8" s="10">
        <f>C8+E8</f>
        <v/>
      </c>
      <c r="G8" s="11">
        <f>IF(F8=0,0,C8/F8)</f>
        <v/>
      </c>
      <c r="H8" s="12">
        <f>IF(F8=0,0,1/F8)</f>
        <v/>
      </c>
      <c r="I8" s="13">
        <f>Inputs!B10*H8</f>
        <v/>
      </c>
      <c r="J8" s="14">
        <f>H8*Inputs!$B$2</f>
        <v/>
      </c>
    </row>
    <row r="9">
      <c r="A9" s="9" t="n">
        <v>5</v>
      </c>
      <c r="B9" s="10">
        <f>Inputs!D11+Inputs!E11+Inputs!F11</f>
        <v/>
      </c>
      <c r="C9" s="11">
        <f>IF(B9=0,0,Inputs!D11/B9)</f>
        <v/>
      </c>
      <c r="D9" s="11">
        <f>IF(B9=0,0,Inputs!E11/B9)</f>
        <v/>
      </c>
      <c r="E9" s="11">
        <f>IF(B9=0,0,Inputs!F11/B9)</f>
        <v/>
      </c>
      <c r="F9" s="10">
        <f>C9+E9</f>
        <v/>
      </c>
      <c r="G9" s="11">
        <f>IF(F9=0,0,C9/F9)</f>
        <v/>
      </c>
      <c r="H9" s="12">
        <f>IF(F9=0,0,1/F9)</f>
        <v/>
      </c>
      <c r="I9" s="13">
        <f>Inputs!B11*H9</f>
        <v/>
      </c>
      <c r="J9" s="14">
        <f>H9*Inputs!$B$2</f>
        <v/>
      </c>
    </row>
    <row r="10">
      <c r="A10" s="9" t="n">
        <v>6</v>
      </c>
      <c r="B10" s="10">
        <f>Inputs!D12+Inputs!E12+Inputs!F12</f>
        <v/>
      </c>
      <c r="C10" s="11">
        <f>IF(B10=0,0,Inputs!D12/B10)</f>
        <v/>
      </c>
      <c r="D10" s="11">
        <f>IF(B10=0,0,Inputs!E12/B10)</f>
        <v/>
      </c>
      <c r="E10" s="11">
        <f>IF(B10=0,0,Inputs!F12/B10)</f>
        <v/>
      </c>
      <c r="F10" s="10">
        <f>C10+E10</f>
        <v/>
      </c>
      <c r="G10" s="11">
        <f>IF(F10=0,0,C10/F10)</f>
        <v/>
      </c>
      <c r="H10" s="12">
        <f>IF(F10=0,0,1/F10)</f>
        <v/>
      </c>
      <c r="I10" s="13">
        <f>Inputs!B12*H10</f>
        <v/>
      </c>
      <c r="J10" s="14">
        <f>H10*Inputs!$B$2</f>
        <v/>
      </c>
    </row>
    <row r="11">
      <c r="A11" s="9" t="n">
        <v>7</v>
      </c>
      <c r="B11" s="10">
        <f>Inputs!D13+Inputs!E13+Inputs!F13</f>
        <v/>
      </c>
      <c r="C11" s="11">
        <f>IF(B11=0,0,Inputs!D13/B11)</f>
        <v/>
      </c>
      <c r="D11" s="11">
        <f>IF(B11=0,0,Inputs!E13/B11)</f>
        <v/>
      </c>
      <c r="E11" s="11">
        <f>IF(B11=0,0,Inputs!F13/B11)</f>
        <v/>
      </c>
      <c r="F11" s="10">
        <f>C11+E11</f>
        <v/>
      </c>
      <c r="G11" s="11">
        <f>IF(F11=0,0,C11/F11)</f>
        <v/>
      </c>
      <c r="H11" s="12">
        <f>IF(F11=0,0,1/F11)</f>
        <v/>
      </c>
      <c r="I11" s="13">
        <f>Inputs!B13*H11</f>
        <v/>
      </c>
      <c r="J11" s="14">
        <f>H11*Inputs!$B$2</f>
        <v/>
      </c>
    </row>
    <row r="12">
      <c r="A12" s="9" t="n">
        <v>8</v>
      </c>
      <c r="B12" s="10">
        <f>Inputs!D14+Inputs!E14+Inputs!F14</f>
        <v/>
      </c>
      <c r="C12" s="11">
        <f>IF(B12=0,0,Inputs!D14/B12)</f>
        <v/>
      </c>
      <c r="D12" s="11">
        <f>IF(B12=0,0,Inputs!E14/B12)</f>
        <v/>
      </c>
      <c r="E12" s="11">
        <f>IF(B12=0,0,Inputs!F14/B12)</f>
        <v/>
      </c>
      <c r="F12" s="10">
        <f>C12+E12</f>
        <v/>
      </c>
      <c r="G12" s="11">
        <f>IF(F12=0,0,C12/F12)</f>
        <v/>
      </c>
      <c r="H12" s="12">
        <f>IF(F12=0,0,1/F12)</f>
        <v/>
      </c>
      <c r="I12" s="13">
        <f>Inputs!B14*H12</f>
        <v/>
      </c>
      <c r="J12" s="14">
        <f>H12*Inputs!$B$2</f>
        <v/>
      </c>
    </row>
    <row r="13">
      <c r="A13" s="9" t="n">
        <v>9</v>
      </c>
      <c r="B13" s="10">
        <f>Inputs!D15+Inputs!E15+Inputs!F15</f>
        <v/>
      </c>
      <c r="C13" s="11">
        <f>IF(B13=0,0,Inputs!D15/B13)</f>
        <v/>
      </c>
      <c r="D13" s="11">
        <f>IF(B13=0,0,Inputs!E15/B13)</f>
        <v/>
      </c>
      <c r="E13" s="11">
        <f>IF(B13=0,0,Inputs!F15/B13)</f>
        <v/>
      </c>
      <c r="F13" s="10">
        <f>C13+E13</f>
        <v/>
      </c>
      <c r="G13" s="11">
        <f>IF(F13=0,0,C13/F13)</f>
        <v/>
      </c>
      <c r="H13" s="12">
        <f>IF(F13=0,0,1/F13)</f>
        <v/>
      </c>
      <c r="I13" s="13">
        <f>Inputs!B15*H13</f>
        <v/>
      </c>
      <c r="J13" s="14">
        <f>H13*Inputs!$B$2</f>
        <v/>
      </c>
    </row>
    <row r="14">
      <c r="A14" s="9" t="n">
        <v>10</v>
      </c>
      <c r="B14" s="10">
        <f>Inputs!D16+Inputs!E16+Inputs!F16</f>
        <v/>
      </c>
      <c r="C14" s="11">
        <f>IF(B14=0,0,Inputs!D16/B14)</f>
        <v/>
      </c>
      <c r="D14" s="11">
        <f>IF(B14=0,0,Inputs!E16/B14)</f>
        <v/>
      </c>
      <c r="E14" s="11">
        <f>IF(B14=0,0,Inputs!F16/B14)</f>
        <v/>
      </c>
      <c r="F14" s="10">
        <f>C14+E14</f>
        <v/>
      </c>
      <c r="G14" s="11">
        <f>IF(F14=0,0,C14/F14)</f>
        <v/>
      </c>
      <c r="H14" s="12">
        <f>IF(F14=0,0,1/F14)</f>
        <v/>
      </c>
      <c r="I14" s="13">
        <f>Inputs!B16*H14</f>
        <v/>
      </c>
      <c r="J14" s="14">
        <f>H14*Inputs!$B$2</f>
        <v/>
      </c>
    </row>
    <row r="15">
      <c r="A15" s="9" t="n">
        <v>11</v>
      </c>
      <c r="B15" s="10">
        <f>Inputs!D17+Inputs!E17+Inputs!F17</f>
        <v/>
      </c>
      <c r="C15" s="11">
        <f>IF(B15=0,0,Inputs!D17/B15)</f>
        <v/>
      </c>
      <c r="D15" s="11">
        <f>IF(B15=0,0,Inputs!E17/B15)</f>
        <v/>
      </c>
      <c r="E15" s="11">
        <f>IF(B15=0,0,Inputs!F17/B15)</f>
        <v/>
      </c>
      <c r="F15" s="10">
        <f>C15+E15</f>
        <v/>
      </c>
      <c r="G15" s="11">
        <f>IF(F15=0,0,C15/F15)</f>
        <v/>
      </c>
      <c r="H15" s="12">
        <f>IF(F15=0,0,1/F15)</f>
        <v/>
      </c>
      <c r="I15" s="13">
        <f>Inputs!B17*H15</f>
        <v/>
      </c>
      <c r="J15" s="14">
        <f>H15*Inputs!$B$2</f>
        <v/>
      </c>
    </row>
    <row r="16">
      <c r="A16" s="9" t="n">
        <v>12</v>
      </c>
      <c r="B16" s="10">
        <f>Inputs!D18+Inputs!E18+Inputs!F18</f>
        <v/>
      </c>
      <c r="C16" s="11">
        <f>IF(B16=0,0,Inputs!D18/B16)</f>
        <v/>
      </c>
      <c r="D16" s="11">
        <f>IF(B16=0,0,Inputs!E18/B16)</f>
        <v/>
      </c>
      <c r="E16" s="11">
        <f>IF(B16=0,0,Inputs!F18/B16)</f>
        <v/>
      </c>
      <c r="F16" s="10">
        <f>C16+E16</f>
        <v/>
      </c>
      <c r="G16" s="11">
        <f>IF(F16=0,0,C16/F16)</f>
        <v/>
      </c>
      <c r="H16" s="12">
        <f>IF(F16=0,0,1/F16)</f>
        <v/>
      </c>
      <c r="I16" s="13">
        <f>Inputs!B18*H16</f>
        <v/>
      </c>
      <c r="J16" s="14">
        <f>H16*Inputs!$B$2</f>
        <v/>
      </c>
    </row>
    <row r="17">
      <c r="A17" s="9" t="n">
        <v>13</v>
      </c>
      <c r="B17" s="10">
        <f>Inputs!D19+Inputs!E19+Inputs!F19</f>
        <v/>
      </c>
      <c r="C17" s="11">
        <f>IF(B17=0,0,Inputs!D19/B17)</f>
        <v/>
      </c>
      <c r="D17" s="11">
        <f>IF(B17=0,0,Inputs!E19/B17)</f>
        <v/>
      </c>
      <c r="E17" s="11">
        <f>IF(B17=0,0,Inputs!F19/B17)</f>
        <v/>
      </c>
      <c r="F17" s="10">
        <f>C17+E17</f>
        <v/>
      </c>
      <c r="G17" s="11">
        <f>IF(F17=0,0,C17/F17)</f>
        <v/>
      </c>
      <c r="H17" s="12">
        <f>IF(F17=0,0,1/F17)</f>
        <v/>
      </c>
      <c r="I17" s="13">
        <f>Inputs!B19*H17</f>
        <v/>
      </c>
      <c r="J17" s="14">
        <f>H17*Inputs!$B$2</f>
        <v/>
      </c>
    </row>
    <row r="18">
      <c r="A18" s="9" t="n">
        <v>14</v>
      </c>
      <c r="B18" s="10">
        <f>Inputs!D20+Inputs!E20+Inputs!F20</f>
        <v/>
      </c>
      <c r="C18" s="11">
        <f>IF(B18=0,0,Inputs!D20/B18)</f>
        <v/>
      </c>
      <c r="D18" s="11">
        <f>IF(B18=0,0,Inputs!E20/B18)</f>
        <v/>
      </c>
      <c r="E18" s="11">
        <f>IF(B18=0,0,Inputs!F20/B18)</f>
        <v/>
      </c>
      <c r="F18" s="10">
        <f>C18+E18</f>
        <v/>
      </c>
      <c r="G18" s="11">
        <f>IF(F18=0,0,C18/F18)</f>
        <v/>
      </c>
      <c r="H18" s="12">
        <f>IF(F18=0,0,1/F18)</f>
        <v/>
      </c>
      <c r="I18" s="13">
        <f>Inputs!B20*H18</f>
        <v/>
      </c>
      <c r="J18" s="14">
        <f>H18*Inputs!$B$2</f>
        <v/>
      </c>
    </row>
    <row r="19">
      <c r="A19" s="9" t="n">
        <v>15</v>
      </c>
      <c r="B19" s="10">
        <f>Inputs!D21+Inputs!E21+Inputs!F21</f>
        <v/>
      </c>
      <c r="C19" s="11">
        <f>IF(B19=0,0,Inputs!D21/B19)</f>
        <v/>
      </c>
      <c r="D19" s="11">
        <f>IF(B19=0,0,Inputs!E21/B19)</f>
        <v/>
      </c>
      <c r="E19" s="11">
        <f>IF(B19=0,0,Inputs!F21/B19)</f>
        <v/>
      </c>
      <c r="F19" s="10">
        <f>C19+E19</f>
        <v/>
      </c>
      <c r="G19" s="11">
        <f>IF(F19=0,0,C19/F19)</f>
        <v/>
      </c>
      <c r="H19" s="12">
        <f>IF(F19=0,0,1/F19)</f>
        <v/>
      </c>
      <c r="I19" s="13">
        <f>Inputs!B21*H19</f>
        <v/>
      </c>
      <c r="J19" s="14">
        <f>H19*Inputs!$B$2</f>
        <v/>
      </c>
    </row>
    <row r="20">
      <c r="A20" s="9" t="n">
        <v>16</v>
      </c>
      <c r="B20" s="10">
        <f>Inputs!D22+Inputs!E22+Inputs!F22</f>
        <v/>
      </c>
      <c r="C20" s="11">
        <f>IF(B20=0,0,Inputs!D22/B20)</f>
        <v/>
      </c>
      <c r="D20" s="11">
        <f>IF(B20=0,0,Inputs!E22/B20)</f>
        <v/>
      </c>
      <c r="E20" s="11">
        <f>IF(B20=0,0,Inputs!F22/B20)</f>
        <v/>
      </c>
      <c r="F20" s="10">
        <f>C20+E20</f>
        <v/>
      </c>
      <c r="G20" s="11">
        <f>IF(F20=0,0,C20/F20)</f>
        <v/>
      </c>
      <c r="H20" s="12">
        <f>IF(F20=0,0,1/F20)</f>
        <v/>
      </c>
      <c r="I20" s="13">
        <f>Inputs!B22*H20</f>
        <v/>
      </c>
      <c r="J20" s="14">
        <f>H20*Inputs!$B$2</f>
        <v/>
      </c>
    </row>
    <row r="21">
      <c r="A21" s="9" t="n">
        <v>17</v>
      </c>
      <c r="B21" s="10">
        <f>Inputs!D23+Inputs!E23+Inputs!F23</f>
        <v/>
      </c>
      <c r="C21" s="11">
        <f>IF(B21=0,0,Inputs!D23/B21)</f>
        <v/>
      </c>
      <c r="D21" s="11">
        <f>IF(B21=0,0,Inputs!E23/B21)</f>
        <v/>
      </c>
      <c r="E21" s="11">
        <f>IF(B21=0,0,Inputs!F23/B21)</f>
        <v/>
      </c>
      <c r="F21" s="10">
        <f>C21+E21</f>
        <v/>
      </c>
      <c r="G21" s="11">
        <f>IF(F21=0,0,C21/F21)</f>
        <v/>
      </c>
      <c r="H21" s="12">
        <f>IF(F21=0,0,1/F21)</f>
        <v/>
      </c>
      <c r="I21" s="13">
        <f>Inputs!B23*H21</f>
        <v/>
      </c>
      <c r="J21" s="14">
        <f>H21*Inputs!$B$2</f>
        <v/>
      </c>
    </row>
    <row r="22">
      <c r="A22" s="9" t="n">
        <v>18</v>
      </c>
      <c r="B22" s="10">
        <f>Inputs!D24+Inputs!E24+Inputs!F24</f>
        <v/>
      </c>
      <c r="C22" s="11">
        <f>IF(B22=0,0,Inputs!D24/B22)</f>
        <v/>
      </c>
      <c r="D22" s="11">
        <f>IF(B22=0,0,Inputs!E24/B22)</f>
        <v/>
      </c>
      <c r="E22" s="11">
        <f>IF(B22=0,0,Inputs!F24/B22)</f>
        <v/>
      </c>
      <c r="F22" s="10">
        <f>C22+E22</f>
        <v/>
      </c>
      <c r="G22" s="11">
        <f>IF(F22=0,0,C22/F22)</f>
        <v/>
      </c>
      <c r="H22" s="12">
        <f>IF(F22=0,0,1/F22)</f>
        <v/>
      </c>
      <c r="I22" s="13">
        <f>Inputs!B24*H22</f>
        <v/>
      </c>
      <c r="J22" s="14">
        <f>H22*Inputs!$B$2</f>
        <v/>
      </c>
    </row>
    <row r="23">
      <c r="A23" s="9" t="n">
        <v>19</v>
      </c>
      <c r="B23" s="10">
        <f>Inputs!D25+Inputs!E25+Inputs!F25</f>
        <v/>
      </c>
      <c r="C23" s="11">
        <f>IF(B23=0,0,Inputs!D25/B23)</f>
        <v/>
      </c>
      <c r="D23" s="11">
        <f>IF(B23=0,0,Inputs!E25/B23)</f>
        <v/>
      </c>
      <c r="E23" s="11">
        <f>IF(B23=0,0,Inputs!F25/B23)</f>
        <v/>
      </c>
      <c r="F23" s="10">
        <f>C23+E23</f>
        <v/>
      </c>
      <c r="G23" s="11">
        <f>IF(F23=0,0,C23/F23)</f>
        <v/>
      </c>
      <c r="H23" s="12">
        <f>IF(F23=0,0,1/F23)</f>
        <v/>
      </c>
      <c r="I23" s="13">
        <f>Inputs!B25*H23</f>
        <v/>
      </c>
      <c r="J23" s="14">
        <f>H23*Inputs!$B$2</f>
        <v/>
      </c>
    </row>
    <row r="24">
      <c r="A24" s="9" t="n">
        <v>20</v>
      </c>
      <c r="B24" s="10">
        <f>Inputs!D26+Inputs!E26+Inputs!F26</f>
        <v/>
      </c>
      <c r="C24" s="11">
        <f>IF(B24=0,0,Inputs!D26/B24)</f>
        <v/>
      </c>
      <c r="D24" s="11">
        <f>IF(B24=0,0,Inputs!E26/B24)</f>
        <v/>
      </c>
      <c r="E24" s="11">
        <f>IF(B24=0,0,Inputs!F26/B24)</f>
        <v/>
      </c>
      <c r="F24" s="10">
        <f>C24+E24</f>
        <v/>
      </c>
      <c r="G24" s="11">
        <f>IF(F24=0,0,C24/F24)</f>
        <v/>
      </c>
      <c r="H24" s="12">
        <f>IF(F24=0,0,1/F24)</f>
        <v/>
      </c>
      <c r="I24" s="13">
        <f>Inputs!B26*H24</f>
        <v/>
      </c>
      <c r="J24" s="14">
        <f>H24*Inputs!$B$2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16" customWidth="1" min="8" max="8"/>
    <col width="20" customWidth="1" min="9" max="9"/>
    <col width="20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From +0 to +n (destroy resets to +0). Expected values are computed via recursion.</t>
        </is>
      </c>
      <c r="K1" s="1" t="inlineStr">
        <is>
          <t>Simulation (Monte Carlo)</t>
        </is>
      </c>
    </row>
    <row r="2">
      <c r="A2" s="3" t="inlineStr">
        <is>
          <t>E[n] = (E[n-1] + stage_value[n]) / q[n], where q[n]=S/(S+D) from StageCalc.</t>
        </is>
      </c>
      <c r="K2" s="3" t="inlineStr">
        <is>
          <t>N=5000, seed=42; percentiles P90/P95/P99 (approx.)</t>
        </is>
      </c>
    </row>
    <row r="4" ht="32" customHeight="1">
      <c r="A4" s="8" t="inlineStr">
        <is>
          <t>Target level (+n)</t>
        </is>
      </c>
      <c r="B4" s="8" t="inlineStr">
        <is>
          <t>Exp clicks to reach +n</t>
        </is>
      </c>
      <c r="C4" s="8" t="inlineStr">
        <is>
          <t>Exp cost to reach +n (원)</t>
        </is>
      </c>
      <c r="D4" s="8" t="inlineStr">
        <is>
          <t>Exp time (sec)</t>
        </is>
      </c>
      <c r="E4" s="8" t="inlineStr">
        <is>
          <t>Exp time (min)</t>
        </is>
      </c>
      <c r="F4" s="8" t="inlineStr">
        <is>
          <t>Exp time (hours)</t>
        </is>
      </c>
      <c r="G4" s="8" t="inlineStr">
        <is>
          <t>Exp breaks (destroy events)</t>
        </is>
      </c>
      <c r="H4" s="8" t="inlineStr">
        <is>
          <t>Sale price (원)</t>
        </is>
      </c>
      <c r="I4" s="8" t="inlineStr">
        <is>
          <t>Exp profit if sell (원)</t>
        </is>
      </c>
      <c r="J4" s="8" t="inlineStr">
        <is>
          <t>Profit per hour (원/hour)</t>
        </is>
      </c>
      <c r="K4" s="8" t="inlineStr">
        <is>
          <t>Sim clicks
P90</t>
        </is>
      </c>
      <c r="L4" s="8" t="inlineStr">
        <is>
          <t>Sim clicks
P95</t>
        </is>
      </c>
      <c r="M4" s="8" t="inlineStr">
        <is>
          <t>Sim clicks
P99</t>
        </is>
      </c>
      <c r="N4" s="8" t="inlineStr">
        <is>
          <t>Sim cost (원)
P90</t>
        </is>
      </c>
      <c r="O4" s="8" t="inlineStr">
        <is>
          <t>Sim cost (원)
P95</t>
        </is>
      </c>
      <c r="P4" s="8" t="inlineStr">
        <is>
          <t>Sim cost (원)
P99</t>
        </is>
      </c>
      <c r="Q4" s="8" t="inlineStr">
        <is>
          <t>Sim time (hours)
P90</t>
        </is>
      </c>
      <c r="R4" s="8" t="inlineStr">
        <is>
          <t>Sim time (hours)
P95</t>
        </is>
      </c>
      <c r="S4" s="8" t="inlineStr">
        <is>
          <t>Sim time (hours)
P99</t>
        </is>
      </c>
    </row>
    <row r="5">
      <c r="A5" s="9" t="n">
        <v>0</v>
      </c>
      <c r="B5" s="12" t="n">
        <v>0</v>
      </c>
      <c r="C5" s="13" t="n">
        <v>0</v>
      </c>
      <c r="D5" s="14" t="n">
        <v>0</v>
      </c>
      <c r="E5" s="12" t="n">
        <v>0</v>
      </c>
      <c r="F5" s="12" t="n">
        <v>0</v>
      </c>
      <c r="G5" s="12" t="n">
        <v>0</v>
      </c>
      <c r="H5" s="13">
        <f>Inputs!C6</f>
        <v/>
      </c>
      <c r="I5" s="13">
        <f>IF(H5=0,"",H5-C5)</f>
        <v/>
      </c>
      <c r="J5" s="13">
        <f>IF(I5="","",IF(F5=0,"",I5/F5))</f>
        <v/>
      </c>
      <c r="K5" s="12" t="n">
        <v>0</v>
      </c>
      <c r="L5" s="12" t="n">
        <v>0</v>
      </c>
      <c r="M5" s="12" t="n">
        <v>0</v>
      </c>
      <c r="N5" s="13" t="n">
        <v>0</v>
      </c>
      <c r="O5" s="13" t="n">
        <v>0</v>
      </c>
      <c r="P5" s="13" t="n">
        <v>0</v>
      </c>
      <c r="Q5" s="12">
        <f>K5*Inputs!$B$2/3600</f>
        <v/>
      </c>
      <c r="R5" s="12">
        <f>L5*Inputs!$B$2/3600</f>
        <v/>
      </c>
      <c r="S5" s="12">
        <f>M5*Inputs!$B$2/3600</f>
        <v/>
      </c>
    </row>
    <row r="6">
      <c r="A6" s="9" t="n">
        <v>1</v>
      </c>
      <c r="B6" s="12">
        <f>(B5+StageCalc!H5)/StageCalc!G5</f>
        <v/>
      </c>
      <c r="C6" s="13">
        <f>(C5+StageCalc!I5)/StageCalc!G5</f>
        <v/>
      </c>
      <c r="D6" s="14">
        <f>B6*Inputs!$B$2</f>
        <v/>
      </c>
      <c r="E6" s="12">
        <f>D6/60</f>
        <v/>
      </c>
      <c r="F6" s="12">
        <f>D6/3600</f>
        <v/>
      </c>
      <c r="G6" s="12">
        <f>(G5+(1-StageCalc!G5))/StageCalc!G5</f>
        <v/>
      </c>
      <c r="H6" s="13">
        <f>Inputs!C7</f>
        <v/>
      </c>
      <c r="I6" s="13">
        <f>IF(H6=0,"",H6-C6)</f>
        <v/>
      </c>
      <c r="J6" s="13">
        <f>IF(I6="","",IF(F6=0,"",I6/F6))</f>
        <v/>
      </c>
      <c r="K6" s="12" t="n">
        <v>1</v>
      </c>
      <c r="L6" s="12" t="n">
        <v>1</v>
      </c>
      <c r="M6" s="12" t="n">
        <v>1</v>
      </c>
      <c r="N6" s="13" t="n">
        <v>20</v>
      </c>
      <c r="O6" s="13" t="n">
        <v>20</v>
      </c>
      <c r="P6" s="13" t="n">
        <v>20</v>
      </c>
      <c r="Q6" s="12">
        <f>K6*Inputs!$B$2/3600</f>
        <v/>
      </c>
      <c r="R6" s="12">
        <f>L6*Inputs!$B$2/3600</f>
        <v/>
      </c>
      <c r="S6" s="12">
        <f>M6*Inputs!$B$2/3600</f>
        <v/>
      </c>
    </row>
    <row r="7">
      <c r="A7" s="9" t="n">
        <v>2</v>
      </c>
      <c r="B7" s="12">
        <f>(B6+StageCalc!H6)/StageCalc!G6</f>
        <v/>
      </c>
      <c r="C7" s="13">
        <f>(C6+StageCalc!I6)/StageCalc!G6</f>
        <v/>
      </c>
      <c r="D7" s="14">
        <f>B7*Inputs!$B$2</f>
        <v/>
      </c>
      <c r="E7" s="12">
        <f>D7/60</f>
        <v/>
      </c>
      <c r="F7" s="12">
        <f>D7/3600</f>
        <v/>
      </c>
      <c r="G7" s="12">
        <f>(G6+(1-StageCalc!G6))/StageCalc!G6</f>
        <v/>
      </c>
      <c r="H7" s="13">
        <f>Inputs!C8</f>
        <v/>
      </c>
      <c r="I7" s="13">
        <f>IF(H7=0,"",H7-C7)</f>
        <v/>
      </c>
      <c r="J7" s="13">
        <f>IF(I7="","",IF(F7=0,"",I7/F7))</f>
        <v/>
      </c>
      <c r="K7" s="12" t="n">
        <v>2</v>
      </c>
      <c r="L7" s="12" t="n">
        <v>3</v>
      </c>
      <c r="M7" s="12" t="n">
        <v>4</v>
      </c>
      <c r="N7" s="13" t="n">
        <v>70</v>
      </c>
      <c r="O7" s="13" t="n">
        <v>120</v>
      </c>
      <c r="P7" s="13" t="n">
        <v>170</v>
      </c>
      <c r="Q7" s="12">
        <f>K7*Inputs!$B$2/3600</f>
        <v/>
      </c>
      <c r="R7" s="12">
        <f>L7*Inputs!$B$2/3600</f>
        <v/>
      </c>
      <c r="S7" s="12">
        <f>M7*Inputs!$B$2/3600</f>
        <v/>
      </c>
    </row>
    <row r="8">
      <c r="A8" s="9" t="n">
        <v>3</v>
      </c>
      <c r="B8" s="12">
        <f>(B7+StageCalc!H7)/StageCalc!G7</f>
        <v/>
      </c>
      <c r="C8" s="13">
        <f>(C7+StageCalc!I7)/StageCalc!G7</f>
        <v/>
      </c>
      <c r="D8" s="14">
        <f>B8*Inputs!$B$2</f>
        <v/>
      </c>
      <c r="E8" s="12">
        <f>D8/60</f>
        <v/>
      </c>
      <c r="F8" s="12">
        <f>D8/3600</f>
        <v/>
      </c>
      <c r="G8" s="12">
        <f>(G7+(1-StageCalc!G7))/StageCalc!G7</f>
        <v/>
      </c>
      <c r="H8" s="13">
        <f>Inputs!C9</f>
        <v/>
      </c>
      <c r="I8" s="13">
        <f>IF(H8=0,"",H8-C8)</f>
        <v/>
      </c>
      <c r="J8" s="13">
        <f>IF(I8="","",IF(F8=0,"",I8/F8))</f>
        <v/>
      </c>
      <c r="K8" s="12" t="n">
        <v>4</v>
      </c>
      <c r="L8" s="12" t="n">
        <v>5</v>
      </c>
      <c r="M8" s="12" t="n">
        <v>6</v>
      </c>
      <c r="N8" s="13" t="n">
        <v>270</v>
      </c>
      <c r="O8" s="13" t="n">
        <v>320</v>
      </c>
      <c r="P8" s="13" t="n">
        <v>420</v>
      </c>
      <c r="Q8" s="12">
        <f>K8*Inputs!$B$2/3600</f>
        <v/>
      </c>
      <c r="R8" s="12">
        <f>L8*Inputs!$B$2/3600</f>
        <v/>
      </c>
      <c r="S8" s="12">
        <f>M8*Inputs!$B$2/3600</f>
        <v/>
      </c>
    </row>
    <row r="9">
      <c r="A9" s="9" t="n">
        <v>4</v>
      </c>
      <c r="B9" s="12">
        <f>(B8+StageCalc!H8)/StageCalc!G8</f>
        <v/>
      </c>
      <c r="C9" s="13">
        <f>(C8+StageCalc!I8)/StageCalc!G8</f>
        <v/>
      </c>
      <c r="D9" s="14">
        <f>B9*Inputs!$B$2</f>
        <v/>
      </c>
      <c r="E9" s="12">
        <f>D9/60</f>
        <v/>
      </c>
      <c r="F9" s="12">
        <f>D9/3600</f>
        <v/>
      </c>
      <c r="G9" s="12">
        <f>(G8+(1-StageCalc!G8))/StageCalc!G8</f>
        <v/>
      </c>
      <c r="H9" s="13">
        <f>Inputs!C10</f>
        <v/>
      </c>
      <c r="I9" s="13">
        <f>IF(H9=0,"",H9-C9)</f>
        <v/>
      </c>
      <c r="J9" s="13">
        <f>IF(I9="","",IF(F9=0,"",I9/F9))</f>
        <v/>
      </c>
      <c r="K9" s="12" t="n">
        <v>6</v>
      </c>
      <c r="L9" s="12" t="n">
        <v>7</v>
      </c>
      <c r="M9" s="12" t="n">
        <v>10</v>
      </c>
      <c r="N9" s="13" t="n">
        <v>770</v>
      </c>
      <c r="O9" s="13" t="n">
        <v>870</v>
      </c>
      <c r="P9" s="13" t="n">
        <v>1170</v>
      </c>
      <c r="Q9" s="12">
        <f>K9*Inputs!$B$2/3600</f>
        <v/>
      </c>
      <c r="R9" s="12">
        <f>L9*Inputs!$B$2/3600</f>
        <v/>
      </c>
      <c r="S9" s="12">
        <f>M9*Inputs!$B$2/3600</f>
        <v/>
      </c>
    </row>
    <row r="10">
      <c r="A10" s="9" t="n">
        <v>5</v>
      </c>
      <c r="B10" s="12">
        <f>(B9+StageCalc!H9)/StageCalc!G9</f>
        <v/>
      </c>
      <c r="C10" s="13">
        <f>(C9+StageCalc!I9)/StageCalc!G9</f>
        <v/>
      </c>
      <c r="D10" s="14">
        <f>B10*Inputs!$B$2</f>
        <v/>
      </c>
      <c r="E10" s="12">
        <f>D10/60</f>
        <v/>
      </c>
      <c r="F10" s="12">
        <f>D10/3600</f>
        <v/>
      </c>
      <c r="G10" s="12">
        <f>(G9+(1-StageCalc!G9))/StageCalc!G9</f>
        <v/>
      </c>
      <c r="H10" s="13">
        <f>Inputs!C11</f>
        <v/>
      </c>
      <c r="I10" s="13">
        <f>IF(H10=0,"",H10-C10)</f>
        <v/>
      </c>
      <c r="J10" s="13">
        <f>IF(I10="","",IF(F10=0,"",I10/F10))</f>
        <v/>
      </c>
      <c r="K10" s="12" t="n">
        <v>10</v>
      </c>
      <c r="L10" s="12" t="n">
        <v>12</v>
      </c>
      <c r="M10" s="12" t="n">
        <v>16</v>
      </c>
      <c r="N10" s="13" t="n">
        <v>2222</v>
      </c>
      <c r="O10" s="13" t="n">
        <v>2570</v>
      </c>
      <c r="P10" s="13" t="n">
        <v>3660</v>
      </c>
      <c r="Q10" s="12">
        <f>K10*Inputs!$B$2/3600</f>
        <v/>
      </c>
      <c r="R10" s="12">
        <f>L10*Inputs!$B$2/3600</f>
        <v/>
      </c>
      <c r="S10" s="12">
        <f>M10*Inputs!$B$2/3600</f>
        <v/>
      </c>
    </row>
    <row r="11">
      <c r="A11" s="9" t="n">
        <v>6</v>
      </c>
      <c r="B11" s="12">
        <f>(B10+StageCalc!H10)/StageCalc!G10</f>
        <v/>
      </c>
      <c r="C11" s="13">
        <f>(C10+StageCalc!I10)/StageCalc!G10</f>
        <v/>
      </c>
      <c r="D11" s="14">
        <f>B11*Inputs!$B$2</f>
        <v/>
      </c>
      <c r="E11" s="12">
        <f>D11/60</f>
        <v/>
      </c>
      <c r="F11" s="12">
        <f>D11/3600</f>
        <v/>
      </c>
      <c r="G11" s="12">
        <f>(G10+(1-StageCalc!G10))/StageCalc!G10</f>
        <v/>
      </c>
      <c r="H11" s="13">
        <f>Inputs!C12</f>
        <v/>
      </c>
      <c r="I11" s="13">
        <f>IF(H11=0,"",H11-C11)</f>
        <v/>
      </c>
      <c r="J11" s="13">
        <f>IF(I11="","",IF(F11=0,"",I11/F11))</f>
        <v/>
      </c>
      <c r="K11" s="12" t="n">
        <v>17</v>
      </c>
      <c r="L11" s="12" t="n">
        <v>21</v>
      </c>
      <c r="M11" s="12" t="n">
        <v>29</v>
      </c>
      <c r="N11" s="13" t="n">
        <v>6340</v>
      </c>
      <c r="O11" s="13" t="n">
        <v>7710</v>
      </c>
      <c r="P11" s="13" t="n">
        <v>10740</v>
      </c>
      <c r="Q11" s="12">
        <f>K11*Inputs!$B$2/3600</f>
        <v/>
      </c>
      <c r="R11" s="12">
        <f>L11*Inputs!$B$2/3600</f>
        <v/>
      </c>
      <c r="S11" s="12">
        <f>M11*Inputs!$B$2/3600</f>
        <v/>
      </c>
    </row>
    <row r="12">
      <c r="A12" s="9" t="n">
        <v>7</v>
      </c>
      <c r="B12" s="12">
        <f>(B11+StageCalc!H11)/StageCalc!G11</f>
        <v/>
      </c>
      <c r="C12" s="13">
        <f>(C11+StageCalc!I11)/StageCalc!G11</f>
        <v/>
      </c>
      <c r="D12" s="14">
        <f>B12*Inputs!$B$2</f>
        <v/>
      </c>
      <c r="E12" s="12">
        <f>D12/60</f>
        <v/>
      </c>
      <c r="F12" s="12">
        <f>D12/3600</f>
        <v/>
      </c>
      <c r="G12" s="12">
        <f>(G11+(1-StageCalc!G11))/StageCalc!G11</f>
        <v/>
      </c>
      <c r="H12" s="13">
        <f>Inputs!C13</f>
        <v/>
      </c>
      <c r="I12" s="13">
        <f>IF(H12=0,"",H12-C12)</f>
        <v/>
      </c>
      <c r="J12" s="13">
        <f>IF(I12="","",IF(F12=0,"",I12/F12))</f>
        <v/>
      </c>
      <c r="K12" s="12" t="n">
        <v>26</v>
      </c>
      <c r="L12" s="12" t="n">
        <v>33</v>
      </c>
      <c r="M12" s="12" t="n">
        <v>46</v>
      </c>
      <c r="N12" s="13" t="n">
        <v>15671</v>
      </c>
      <c r="O12" s="13" t="n">
        <v>19082</v>
      </c>
      <c r="P12" s="13" t="n">
        <v>26683</v>
      </c>
      <c r="Q12" s="12">
        <f>K12*Inputs!$B$2/3600</f>
        <v/>
      </c>
      <c r="R12" s="12">
        <f>L12*Inputs!$B$2/3600</f>
        <v/>
      </c>
      <c r="S12" s="12">
        <f>M12*Inputs!$B$2/3600</f>
        <v/>
      </c>
    </row>
    <row r="13">
      <c r="A13" s="9" t="n">
        <v>8</v>
      </c>
      <c r="B13" s="12">
        <f>(B12+StageCalc!H12)/StageCalc!G12</f>
        <v/>
      </c>
      <c r="C13" s="13">
        <f>(C12+StageCalc!I12)/StageCalc!G12</f>
        <v/>
      </c>
      <c r="D13" s="14">
        <f>B13*Inputs!$B$2</f>
        <v/>
      </c>
      <c r="E13" s="12">
        <f>D13/60</f>
        <v/>
      </c>
      <c r="F13" s="12">
        <f>D13/3600</f>
        <v/>
      </c>
      <c r="G13" s="12">
        <f>(G12+(1-StageCalc!G12))/StageCalc!G12</f>
        <v/>
      </c>
      <c r="H13" s="13">
        <f>Inputs!C14</f>
        <v/>
      </c>
      <c r="I13" s="13">
        <f>IF(H13=0,"",H13-C13)</f>
        <v/>
      </c>
      <c r="J13" s="13">
        <f>IF(I13="","",IF(F13=0,"",I13/F13))</f>
        <v/>
      </c>
      <c r="K13" s="12" t="n">
        <v>39</v>
      </c>
      <c r="L13" s="12" t="n">
        <v>49</v>
      </c>
      <c r="M13" s="12" t="n">
        <v>69</v>
      </c>
      <c r="N13" s="13" t="n">
        <v>41447</v>
      </c>
      <c r="O13" s="13" t="n">
        <v>51643</v>
      </c>
      <c r="P13" s="13" t="n">
        <v>73343</v>
      </c>
      <c r="Q13" s="12">
        <f>K13*Inputs!$B$2/3600</f>
        <v/>
      </c>
      <c r="R13" s="12">
        <f>L13*Inputs!$B$2/3600</f>
        <v/>
      </c>
      <c r="S13" s="12">
        <f>M13*Inputs!$B$2/3600</f>
        <v/>
      </c>
    </row>
    <row r="14">
      <c r="A14" s="9" t="n">
        <v>9</v>
      </c>
      <c r="B14" s="12">
        <f>(B13+StageCalc!H13)/StageCalc!G13</f>
        <v/>
      </c>
      <c r="C14" s="13">
        <f>(C13+StageCalc!I13)/StageCalc!G13</f>
        <v/>
      </c>
      <c r="D14" s="14">
        <f>B14*Inputs!$B$2</f>
        <v/>
      </c>
      <c r="E14" s="12">
        <f>D14/60</f>
        <v/>
      </c>
      <c r="F14" s="12">
        <f>D14/3600</f>
        <v/>
      </c>
      <c r="G14" s="12">
        <f>(G13+(1-StageCalc!G13))/StageCalc!G13</f>
        <v/>
      </c>
      <c r="H14" s="13">
        <f>Inputs!C15</f>
        <v/>
      </c>
      <c r="I14" s="13">
        <f>IF(H14=0,"",H14-C14)</f>
        <v/>
      </c>
      <c r="J14" s="13">
        <f>IF(I14="","",IF(F14=0,"",I14/F14))</f>
        <v/>
      </c>
      <c r="K14" s="12" t="n">
        <v>58</v>
      </c>
      <c r="L14" s="12" t="n">
        <v>73</v>
      </c>
      <c r="M14" s="12" t="n">
        <v>111.01</v>
      </c>
      <c r="N14" s="13" t="n">
        <v>111140</v>
      </c>
      <c r="O14" s="13" t="n">
        <v>135391</v>
      </c>
      <c r="P14" s="13" t="n">
        <v>199514</v>
      </c>
      <c r="Q14" s="12">
        <f>K14*Inputs!$B$2/3600</f>
        <v/>
      </c>
      <c r="R14" s="12">
        <f>L14*Inputs!$B$2/3600</f>
        <v/>
      </c>
      <c r="S14" s="12">
        <f>M14*Inputs!$B$2/3600</f>
        <v/>
      </c>
    </row>
    <row r="15">
      <c r="A15" s="9" t="n">
        <v>10</v>
      </c>
      <c r="B15" s="12">
        <f>(B14+StageCalc!H14)/StageCalc!G14</f>
        <v/>
      </c>
      <c r="C15" s="13">
        <f>(C14+StageCalc!I14)/StageCalc!G14</f>
        <v/>
      </c>
      <c r="D15" s="14">
        <f>B15*Inputs!$B$2</f>
        <v/>
      </c>
      <c r="E15" s="12">
        <f>D15/60</f>
        <v/>
      </c>
      <c r="F15" s="12">
        <f>D15/3600</f>
        <v/>
      </c>
      <c r="G15" s="12">
        <f>(G14+(1-StageCalc!G14))/StageCalc!G14</f>
        <v/>
      </c>
      <c r="H15" s="13">
        <f>Inputs!C16</f>
        <v/>
      </c>
      <c r="I15" s="13">
        <f>IF(H15=0,"",H15-C15)</f>
        <v/>
      </c>
      <c r="J15" s="13">
        <f>IF(I15="","",IF(F15=0,"",I15/F15))</f>
        <v/>
      </c>
      <c r="K15" s="12" t="n">
        <v>86</v>
      </c>
      <c r="L15" s="12" t="n">
        <v>111.05</v>
      </c>
      <c r="M15" s="12" t="n">
        <v>162</v>
      </c>
      <c r="N15" s="13" t="n">
        <v>275628</v>
      </c>
      <c r="O15" s="13" t="n">
        <v>337931</v>
      </c>
      <c r="P15" s="13" t="n">
        <v>480818</v>
      </c>
      <c r="Q15" s="12">
        <f>K15*Inputs!$B$2/3600</f>
        <v/>
      </c>
      <c r="R15" s="12">
        <f>L15*Inputs!$B$2/3600</f>
        <v/>
      </c>
      <c r="S15" s="12">
        <f>M15*Inputs!$B$2/3600</f>
        <v/>
      </c>
    </row>
    <row r="16">
      <c r="A16" s="9" t="n">
        <v>11</v>
      </c>
      <c r="B16" s="12">
        <f>(B15+StageCalc!H15)/StageCalc!G15</f>
        <v/>
      </c>
      <c r="C16" s="13">
        <f>(C15+StageCalc!I15)/StageCalc!G15</f>
        <v/>
      </c>
      <c r="D16" s="14">
        <f>B16*Inputs!$B$2</f>
        <v/>
      </c>
      <c r="E16" s="12">
        <f>D16/60</f>
        <v/>
      </c>
      <c r="F16" s="12">
        <f>D16/3600</f>
        <v/>
      </c>
      <c r="G16" s="12">
        <f>(G15+(1-StageCalc!G15))/StageCalc!G15</f>
        <v/>
      </c>
      <c r="H16" s="13">
        <f>Inputs!C17</f>
        <v/>
      </c>
      <c r="I16" s="13">
        <f>IF(H16=0,"",H16-C16)</f>
        <v/>
      </c>
      <c r="J16" s="13">
        <f>IF(I16="","",IF(F16=0,"",I16/F16))</f>
        <v/>
      </c>
      <c r="K16" s="12" t="n">
        <v>135</v>
      </c>
      <c r="L16" s="12" t="n">
        <v>169</v>
      </c>
      <c r="M16" s="12" t="n">
        <v>248.01</v>
      </c>
      <c r="N16" s="13" t="n">
        <v>603424</v>
      </c>
      <c r="O16" s="13" t="n">
        <v>756822</v>
      </c>
      <c r="P16" s="13" t="n">
        <v>1068436</v>
      </c>
      <c r="Q16" s="12">
        <f>K16*Inputs!$B$2/3600</f>
        <v/>
      </c>
      <c r="R16" s="12">
        <f>L16*Inputs!$B$2/3600</f>
        <v/>
      </c>
      <c r="S16" s="12">
        <f>M16*Inputs!$B$2/3600</f>
        <v/>
      </c>
    </row>
    <row r="17">
      <c r="A17" s="9" t="n">
        <v>12</v>
      </c>
      <c r="B17" s="12">
        <f>(B16+StageCalc!H16)/StageCalc!G16</f>
        <v/>
      </c>
      <c r="C17" s="13">
        <f>(C16+StageCalc!I16)/StageCalc!G16</f>
        <v/>
      </c>
      <c r="D17" s="14">
        <f>B17*Inputs!$B$2</f>
        <v/>
      </c>
      <c r="E17" s="12">
        <f>D17/60</f>
        <v/>
      </c>
      <c r="F17" s="12">
        <f>D17/3600</f>
        <v/>
      </c>
      <c r="G17" s="12">
        <f>(G16+(1-StageCalc!G16))/StageCalc!G16</f>
        <v/>
      </c>
      <c r="H17" s="13">
        <f>Inputs!C18</f>
        <v/>
      </c>
      <c r="I17" s="13">
        <f>IF(H17=0,"",H17-C17)</f>
        <v/>
      </c>
      <c r="J17" s="13">
        <f>IF(I17="","",IF(F17=0,"",I17/F17))</f>
        <v/>
      </c>
      <c r="K17" s="12" t="n">
        <v>211.1</v>
      </c>
      <c r="L17" s="12" t="n">
        <v>269</v>
      </c>
      <c r="M17" s="12" t="n">
        <v>412.01</v>
      </c>
      <c r="N17" s="13" t="n">
        <v>1238629</v>
      </c>
      <c r="O17" s="13" t="n">
        <v>1556950</v>
      </c>
      <c r="P17" s="13" t="n">
        <v>2258202</v>
      </c>
      <c r="Q17" s="12">
        <f>K17*Inputs!$B$2/3600</f>
        <v/>
      </c>
      <c r="R17" s="12">
        <f>L17*Inputs!$B$2/3600</f>
        <v/>
      </c>
      <c r="S17" s="12">
        <f>M17*Inputs!$B$2/3600</f>
        <v/>
      </c>
    </row>
    <row r="18">
      <c r="A18" s="9" t="n">
        <v>13</v>
      </c>
      <c r="B18" s="12">
        <f>(B17+StageCalc!H17)/StageCalc!G17</f>
        <v/>
      </c>
      <c r="C18" s="13">
        <f>(C17+StageCalc!I17)/StageCalc!G17</f>
        <v/>
      </c>
      <c r="D18" s="14">
        <f>B18*Inputs!$B$2</f>
        <v/>
      </c>
      <c r="E18" s="12">
        <f>D18/60</f>
        <v/>
      </c>
      <c r="F18" s="12">
        <f>D18/3600</f>
        <v/>
      </c>
      <c r="G18" s="12">
        <f>(G17+(1-StageCalc!G17))/StageCalc!G17</f>
        <v/>
      </c>
      <c r="H18" s="13">
        <f>Inputs!C19</f>
        <v/>
      </c>
      <c r="I18" s="13">
        <f>IF(H18=0,"",H18-C18)</f>
        <v/>
      </c>
      <c r="J18" s="13">
        <f>IF(I18="","",IF(F18=0,"",I18/F18))</f>
        <v/>
      </c>
      <c r="K18" s="12" t="n">
        <v>348</v>
      </c>
      <c r="L18" s="12" t="n">
        <v>443.05</v>
      </c>
      <c r="M18" s="12" t="n">
        <v>641.02</v>
      </c>
      <c r="N18" s="13" t="n">
        <v>2518754</v>
      </c>
      <c r="O18" s="13" t="n">
        <v>3214852</v>
      </c>
      <c r="P18" s="13" t="n">
        <v>4549597</v>
      </c>
      <c r="Q18" s="12">
        <f>K18*Inputs!$B$2/3600</f>
        <v/>
      </c>
      <c r="R18" s="12">
        <f>L18*Inputs!$B$2/3600</f>
        <v/>
      </c>
      <c r="S18" s="12">
        <f>M18*Inputs!$B$2/3600</f>
        <v/>
      </c>
    </row>
    <row r="19">
      <c r="A19" s="9" t="n">
        <v>14</v>
      </c>
      <c r="B19" s="12">
        <f>(B18+StageCalc!H18)/StageCalc!G18</f>
        <v/>
      </c>
      <c r="C19" s="13">
        <f>(C18+StageCalc!I18)/StageCalc!G18</f>
        <v/>
      </c>
      <c r="D19" s="14">
        <f>B19*Inputs!$B$2</f>
        <v/>
      </c>
      <c r="E19" s="12">
        <f>D19/60</f>
        <v/>
      </c>
      <c r="F19" s="12">
        <f>D19/3600</f>
        <v/>
      </c>
      <c r="G19" s="12">
        <f>(G18+(1-StageCalc!G18))/StageCalc!G18</f>
        <v/>
      </c>
      <c r="H19" s="13">
        <f>Inputs!C20</f>
        <v/>
      </c>
      <c r="I19" s="13">
        <f>IF(H19=0,"",H19-C19)</f>
        <v/>
      </c>
      <c r="J19" s="13">
        <f>IF(I19="","",IF(F19=0,"",I19/F19))</f>
        <v/>
      </c>
      <c r="K19" s="12" t="n">
        <v>542.1</v>
      </c>
      <c r="L19" s="12" t="n">
        <v>694.05</v>
      </c>
      <c r="M19" s="12" t="n">
        <v>1091.02</v>
      </c>
      <c r="N19" s="13" t="n">
        <v>4654521</v>
      </c>
      <c r="O19" s="13" t="n">
        <v>5875110</v>
      </c>
      <c r="P19" s="13" t="n">
        <v>8863610</v>
      </c>
      <c r="Q19" s="12">
        <f>K19*Inputs!$B$2/3600</f>
        <v/>
      </c>
      <c r="R19" s="12">
        <f>L19*Inputs!$B$2/3600</f>
        <v/>
      </c>
      <c r="S19" s="12">
        <f>M19*Inputs!$B$2/3600</f>
        <v/>
      </c>
    </row>
    <row r="20">
      <c r="A20" s="9" t="n">
        <v>15</v>
      </c>
      <c r="B20" s="12">
        <f>(B19+StageCalc!H19)/StageCalc!G19</f>
        <v/>
      </c>
      <c r="C20" s="13">
        <f>(C19+StageCalc!I19)/StageCalc!G19</f>
        <v/>
      </c>
      <c r="D20" s="14">
        <f>B20*Inputs!$B$2</f>
        <v/>
      </c>
      <c r="E20" s="12">
        <f>D20/60</f>
        <v/>
      </c>
      <c r="F20" s="12">
        <f>D20/3600</f>
        <v/>
      </c>
      <c r="G20" s="12">
        <f>(G19+(1-StageCalc!G19))/StageCalc!G19</f>
        <v/>
      </c>
      <c r="H20" s="13">
        <f>Inputs!C21</f>
        <v/>
      </c>
      <c r="I20" s="13">
        <f>IF(H20=0,"",H20-C20)</f>
        <v/>
      </c>
      <c r="J20" s="13">
        <f>IF(I20="","",IF(F20=0,"",I20/F20))</f>
        <v/>
      </c>
      <c r="K20" s="12" t="n">
        <v>939</v>
      </c>
      <c r="L20" s="12" t="n">
        <v>1220.15</v>
      </c>
      <c r="M20" s="12" t="n">
        <v>1858.03</v>
      </c>
      <c r="N20" s="13" t="n">
        <v>9546672</v>
      </c>
      <c r="O20" s="13" t="n">
        <v>12112979</v>
      </c>
      <c r="P20" s="13" t="n">
        <v>17378823</v>
      </c>
      <c r="Q20" s="12">
        <f>K20*Inputs!$B$2/3600</f>
        <v/>
      </c>
      <c r="R20" s="12">
        <f>L20*Inputs!$B$2/3600</f>
        <v/>
      </c>
      <c r="S20" s="12">
        <f>M20*Inputs!$B$2/3600</f>
        <v/>
      </c>
    </row>
    <row r="21">
      <c r="A21" s="9" t="n">
        <v>16</v>
      </c>
      <c r="B21" s="12">
        <f>(B20+StageCalc!H20)/StageCalc!G20</f>
        <v/>
      </c>
      <c r="C21" s="13">
        <f>(C20+StageCalc!I20)/StageCalc!G20</f>
        <v/>
      </c>
      <c r="D21" s="14">
        <f>B21*Inputs!$B$2</f>
        <v/>
      </c>
      <c r="E21" s="12">
        <f>D21/60</f>
        <v/>
      </c>
      <c r="F21" s="12">
        <f>D21/3600</f>
        <v/>
      </c>
      <c r="G21" s="12">
        <f>(G20+(1-StageCalc!G20))/StageCalc!G20</f>
        <v/>
      </c>
      <c r="H21" s="13">
        <f>Inputs!C22</f>
        <v/>
      </c>
      <c r="I21" s="13">
        <f>IF(H21=0,"",H21-C21)</f>
        <v/>
      </c>
      <c r="J21" s="13">
        <f>IF(I21="","",IF(F21=0,"",I21/F21))</f>
        <v/>
      </c>
      <c r="K21" s="12" t="n">
        <v>1631</v>
      </c>
      <c r="L21" s="12" t="n">
        <v>2188.35</v>
      </c>
      <c r="M21" s="12" t="n">
        <v>3279.1</v>
      </c>
      <c r="N21" s="13" t="n">
        <v>18839146</v>
      </c>
      <c r="O21" s="13" t="n">
        <v>24598164</v>
      </c>
      <c r="P21" s="13" t="n">
        <v>37132937</v>
      </c>
      <c r="Q21" s="12">
        <f>K21*Inputs!$B$2/3600</f>
        <v/>
      </c>
      <c r="R21" s="12">
        <f>L21*Inputs!$B$2/3600</f>
        <v/>
      </c>
      <c r="S21" s="12">
        <f>M21*Inputs!$B$2/3600</f>
        <v/>
      </c>
    </row>
    <row r="22">
      <c r="A22" s="9" t="n">
        <v>17</v>
      </c>
      <c r="B22" s="12">
        <f>(B21+StageCalc!H21)/StageCalc!G21</f>
        <v/>
      </c>
      <c r="C22" s="13">
        <f>(C21+StageCalc!I21)/StageCalc!G21</f>
        <v/>
      </c>
      <c r="D22" s="14">
        <f>B22*Inputs!$B$2</f>
        <v/>
      </c>
      <c r="E22" s="12">
        <f>D22/60</f>
        <v/>
      </c>
      <c r="F22" s="12">
        <f>D22/3600</f>
        <v/>
      </c>
      <c r="G22" s="12">
        <f>(G21+(1-StageCalc!G21))/StageCalc!G21</f>
        <v/>
      </c>
      <c r="H22" s="13">
        <f>Inputs!C23</f>
        <v/>
      </c>
      <c r="I22" s="13">
        <f>IF(H22=0,"",H22-C22)</f>
        <v/>
      </c>
      <c r="J22" s="13">
        <f>IF(I22="","",IF(F22=0,"",I22/F22))</f>
        <v/>
      </c>
      <c r="K22" s="12" t="n">
        <v>3670.2</v>
      </c>
      <c r="L22" s="12" t="n">
        <v>4808.15</v>
      </c>
      <c r="M22" s="12" t="n">
        <v>7175.03</v>
      </c>
      <c r="N22" s="13" t="n">
        <v>46400017</v>
      </c>
      <c r="O22" s="13" t="n">
        <v>61326354</v>
      </c>
      <c r="P22" s="13" t="n">
        <v>89547436</v>
      </c>
      <c r="Q22" s="12">
        <f>K22*Inputs!$B$2/3600</f>
        <v/>
      </c>
      <c r="R22" s="12">
        <f>L22*Inputs!$B$2/3600</f>
        <v/>
      </c>
      <c r="S22" s="12">
        <f>M22*Inputs!$B$2/3600</f>
        <v/>
      </c>
    </row>
    <row r="23">
      <c r="A23" s="9" t="n">
        <v>18</v>
      </c>
      <c r="B23" s="12">
        <f>(B22+StageCalc!H22)/StageCalc!G22</f>
        <v/>
      </c>
      <c r="C23" s="13">
        <f>(C22+StageCalc!I22)/StageCalc!G22</f>
        <v/>
      </c>
      <c r="D23" s="14">
        <f>B23*Inputs!$B$2</f>
        <v/>
      </c>
      <c r="E23" s="12">
        <f>D23/60</f>
        <v/>
      </c>
      <c r="F23" s="12">
        <f>D23/3600</f>
        <v/>
      </c>
      <c r="G23" s="12">
        <f>(G22+(1-StageCalc!G22))/StageCalc!G22</f>
        <v/>
      </c>
      <c r="H23" s="13">
        <f>Inputs!C24</f>
        <v/>
      </c>
      <c r="I23" s="13">
        <f>IF(H23=0,"",H23-C23)</f>
        <v/>
      </c>
      <c r="J23" s="13">
        <f>IF(I23="","",IF(F23=0,"",I23/F23))</f>
        <v/>
      </c>
      <c r="K23" s="12" t="n">
        <v>7497.1</v>
      </c>
      <c r="L23" s="12" t="n">
        <v>9474.5</v>
      </c>
      <c r="M23" s="12" t="n">
        <v>14254.18</v>
      </c>
      <c r="N23" s="13" t="n">
        <v>103271580</v>
      </c>
      <c r="O23" s="13" t="n">
        <v>131180677</v>
      </c>
      <c r="P23" s="13" t="n">
        <v>194420436</v>
      </c>
      <c r="Q23" s="12">
        <f>K23*Inputs!$B$2/3600</f>
        <v/>
      </c>
      <c r="R23" s="12">
        <f>L23*Inputs!$B$2/3600</f>
        <v/>
      </c>
      <c r="S23" s="12">
        <f>M23*Inputs!$B$2/3600</f>
        <v/>
      </c>
    </row>
    <row r="24">
      <c r="A24" s="9" t="n">
        <v>19</v>
      </c>
      <c r="B24" s="12">
        <f>(B23+StageCalc!H23)/StageCalc!G23</f>
        <v/>
      </c>
      <c r="C24" s="13">
        <f>(C23+StageCalc!I23)/StageCalc!G23</f>
        <v/>
      </c>
      <c r="D24" s="14">
        <f>B24*Inputs!$B$2</f>
        <v/>
      </c>
      <c r="E24" s="12">
        <f>D24/60</f>
        <v/>
      </c>
      <c r="F24" s="12">
        <f>D24/3600</f>
        <v/>
      </c>
      <c r="G24" s="12">
        <f>(G23+(1-StageCalc!G23))/StageCalc!G23</f>
        <v/>
      </c>
      <c r="H24" s="13">
        <f>Inputs!C25</f>
        <v/>
      </c>
      <c r="I24" s="13">
        <f>IF(H24=0,"",H24-C24)</f>
        <v/>
      </c>
      <c r="J24" s="13">
        <f>IF(I24="","",IF(F24=0,"",I24/F24))</f>
        <v/>
      </c>
      <c r="K24" s="12" t="n">
        <v>25059.7</v>
      </c>
      <c r="L24" s="12" t="n">
        <v>32868.25</v>
      </c>
      <c r="M24" s="12" t="n">
        <v>50519.59</v>
      </c>
      <c r="N24" s="13" t="n">
        <v>372978807</v>
      </c>
      <c r="O24" s="13" t="n">
        <v>487033348</v>
      </c>
      <c r="P24" s="13" t="n">
        <v>747234302</v>
      </c>
      <c r="Q24" s="12">
        <f>K24*Inputs!$B$2/3600</f>
        <v/>
      </c>
      <c r="R24" s="12">
        <f>L24*Inputs!$B$2/3600</f>
        <v/>
      </c>
      <c r="S24" s="12">
        <f>M24*Inputs!$B$2/3600</f>
        <v/>
      </c>
    </row>
    <row r="25">
      <c r="A25" s="9" t="n">
        <v>20</v>
      </c>
      <c r="B25" s="12">
        <f>(B24+StageCalc!H24)/StageCalc!G24</f>
        <v/>
      </c>
      <c r="C25" s="13">
        <f>(C24+StageCalc!I24)/StageCalc!G24</f>
        <v/>
      </c>
      <c r="D25" s="14">
        <f>B25*Inputs!$B$2</f>
        <v/>
      </c>
      <c r="E25" s="12">
        <f>D25/60</f>
        <v/>
      </c>
      <c r="F25" s="12">
        <f>D25/3600</f>
        <v/>
      </c>
      <c r="G25" s="12">
        <f>(G24+(1-StageCalc!G24))/StageCalc!G24</f>
        <v/>
      </c>
      <c r="H25" s="13">
        <f>Inputs!C26</f>
        <v/>
      </c>
      <c r="I25" s="13">
        <f>IF(H25=0,"",H25-C25)</f>
        <v/>
      </c>
      <c r="J25" s="13">
        <f>IF(I25="","",IF(F25=0,"",I25/F25))</f>
        <v/>
      </c>
      <c r="K25" s="12" t="n">
        <v>98571.10000000001</v>
      </c>
      <c r="L25" s="12" t="n">
        <v>125421.3</v>
      </c>
      <c r="M25" s="12" t="n">
        <v>177609.54</v>
      </c>
      <c r="N25" s="13" t="n">
        <v>1487914571</v>
      </c>
      <c r="O25" s="13" t="n">
        <v>1898728850</v>
      </c>
      <c r="P25" s="13" t="n">
        <v>2662037876</v>
      </c>
      <c r="Q25" s="12">
        <f>K25*Inputs!$B$2/3600</f>
        <v/>
      </c>
      <c r="R25" s="12">
        <f>L25*Inputs!$B$2/3600</f>
        <v/>
      </c>
      <c r="S25" s="12">
        <f>M25*Inputs!$B$2/3600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2026-02-02T08:03:03Z</dcterms:created>
  <dcterms:modified xmlns:dcterms="http://purl.org/dc/terms/" xmlns:xsi="http://www.w3.org/2001/XMLSchema-instance" xsi:type="dcterms:W3CDTF">2026-02-02T08:04:25Z</dcterms:modified>
</cp:coreProperties>
</file>